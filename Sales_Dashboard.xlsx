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UMMYDADA\Downloads\Excel HR Project\"/>
    </mc:Choice>
  </mc:AlternateContent>
  <xr:revisionPtr revIDLastSave="0" documentId="13_ncr:1_{C9AFD92D-8725-4852-B52C-F12AAD0BCB9D}" xr6:coauthVersionLast="47" xr6:coauthVersionMax="47" xr10:uidLastSave="{00000000-0000-0000-0000-000000000000}"/>
  <bookViews>
    <workbookView xWindow="-120" yWindow="-120" windowWidth="29040" windowHeight="15720" xr2:uid="{03ECA173-6865-4E05-8D57-906A79B220C6}"/>
  </bookViews>
  <sheets>
    <sheet name="Dashboard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2" i="2"/>
  <c r="H2" i="1"/>
  <c r="H3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<sst xmlns="http://schemas.openxmlformats.org/spreadsheetml/2006/main" count="67" uniqueCount="45">
  <si>
    <t>Order ID</t>
  </si>
  <si>
    <t>Salesperson</t>
  </si>
  <si>
    <t>Region</t>
  </si>
  <si>
    <t>Product</t>
  </si>
  <si>
    <t>Sales Amount</t>
  </si>
  <si>
    <t>Month</t>
  </si>
  <si>
    <t>Target</t>
  </si>
  <si>
    <t>ORD001</t>
  </si>
  <si>
    <t>Ravi</t>
  </si>
  <si>
    <t>North</t>
  </si>
  <si>
    <t>Laptop</t>
  </si>
  <si>
    <t>January</t>
  </si>
  <si>
    <t>ORD002</t>
  </si>
  <si>
    <t>Priya</t>
  </si>
  <si>
    <t>South</t>
  </si>
  <si>
    <t>Mobile</t>
  </si>
  <si>
    <t>ORD003</t>
  </si>
  <si>
    <t>Arun</t>
  </si>
  <si>
    <t>East</t>
  </si>
  <si>
    <t>Tablet</t>
  </si>
  <si>
    <t>February</t>
  </si>
  <si>
    <t>ORD004</t>
  </si>
  <si>
    <t>Sneha</t>
  </si>
  <si>
    <t>West</t>
  </si>
  <si>
    <t>ORD005</t>
  </si>
  <si>
    <t>Karthik</t>
  </si>
  <si>
    <t>March</t>
  </si>
  <si>
    <t>ORD006</t>
  </si>
  <si>
    <t>Divya</t>
  </si>
  <si>
    <t>ORD007</t>
  </si>
  <si>
    <t>Ajay</t>
  </si>
  <si>
    <t>April</t>
  </si>
  <si>
    <t>ORD008</t>
  </si>
  <si>
    <t>Meena</t>
  </si>
  <si>
    <t>ORD009</t>
  </si>
  <si>
    <t>Surya</t>
  </si>
  <si>
    <t>May</t>
  </si>
  <si>
    <t>ORD010</t>
  </si>
  <si>
    <t>Anitha</t>
  </si>
  <si>
    <t>PERFORMANCE</t>
  </si>
  <si>
    <t>Row Labels</t>
  </si>
  <si>
    <t>Grand Total</t>
  </si>
  <si>
    <t>Sum of Sales Amount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</si>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</sst>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/>
    <xf numFmtId="0" fontId="0" fillId="0" borderId="0" xfId="0" pivotButton="1"/>
    <xf numFmtId="0" fontId="0" fillId="0" borderId="0" xfId="0" applyNumberFormat="1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3"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[Sales_Dashboard.xlsx]Dashboard!PivotTable2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Regional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Dashboard!$A$2:$A$6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4"/>
                <c:pt idx="0">
                  <c:v>85000</c:v>
                </c:pt>
                <c:pt idx="1">
                  <c:v>110000</c:v>
                </c:pt>
                <c:pt idx="2">
                  <c:v>125000</c:v>
                </c:pt>
                <c:pt idx="3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6-46A3-92CA-98BF18297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64521775"/>
        <c:axId val="164522735"/>
      </c:barChart>
      <c:catAx>
        <c:axId val="16452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2735"/>
        <c:crosses val="autoZero"/>
        <c:auto val="1"/>
        <c:lblAlgn val="ctr"/>
        <c:lblOffset val="100"/>
        <c:noMultiLvlLbl val="0"/>
      </c:catAx>
      <c:valAx>
        <c:axId val="16452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17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4"/>
                <c:pt idx="0">
                  <c:v>85000</c:v>
                </c:pt>
                <c:pt idx="1">
                  <c:v>110000</c:v>
                </c:pt>
                <c:pt idx="2">
                  <c:v>125000</c:v>
                </c:pt>
                <c:pt idx="3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F-4032-9E6A-58D0CB64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14</xdr:row>
      <xdr:rowOff>47625</xdr:rowOff>
    </xdr:from>
    <xdr:to>
      <xdr:col>10</xdr:col>
      <xdr:colOff>466725</xdr:colOff>
      <xdr:row>28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8C889-C1CB-A90A-EDA0-4BA5C210B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395287</xdr:colOff>
      <xdr:row>13</xdr:row>
      <xdr:rowOff>176212</xdr:rowOff>
    </xdr:from>
    <xdr:to>
      <xdr:col>22</xdr:col>
      <xdr:colOff>90487</xdr:colOff>
      <xdr:row>28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2EEED7-0D98-AEC8-862F-5D465C111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MYDADA" refreshedDate="46155.665482407407" createdVersion="8" refreshedVersion="8" minRefreshableVersion="3" recordCount="10" xr:uid="{26AFAC61-7691-4511-BC14-348EF45EDC72}">
  <cacheSource type="worksheet">
    <worksheetSource name="Table2"/>
  </cacheSource>
  <cacheFields count="8">
    <cacheField name="Order ID" numFmtId="0">
      <sharedItems/>
    </cacheField>
    <cacheField name="Salesperson" numFmtId="0">
      <sharedItems count="10">
        <s v="Ravi"/>
        <s v="Priya"/>
        <s v="Arun"/>
        <s v="Sneha"/>
        <s v="Karthik"/>
        <s v="Divya"/>
        <s v="Ajay"/>
        <s v="Meena"/>
        <s v="Surya"/>
        <s v="Anitha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Sales Amount" numFmtId="0">
      <sharedItems containsSemiMixedTypes="0" containsString="0" containsNumber="1" containsInteger="1" minValue="20000" maxValue="70000"/>
    </cacheField>
    <cacheField name="Month" numFmtId="0">
      <sharedItems/>
    </cacheField>
    <cacheField name="Target" numFmtId="0">
      <sharedItems containsSemiMixedTypes="0" containsString="0" containsNumber="1" containsInteger="1" minValue="22000" maxValue="65000"/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001"/>
    <x v="0"/>
    <x v="0"/>
    <s v="Laptop"/>
    <n v="55000"/>
    <s v="January"/>
    <n v="50000"/>
    <s v="Achieved"/>
  </r>
  <r>
    <s v="ORD002"/>
    <x v="1"/>
    <x v="1"/>
    <s v="Mobile"/>
    <n v="30000"/>
    <s v="January"/>
    <n v="25000"/>
    <s v="Achieved"/>
  </r>
  <r>
    <s v="ORD003"/>
    <x v="2"/>
    <x v="2"/>
    <s v="Tablet"/>
    <n v="20000"/>
    <s v="February"/>
    <n v="22000"/>
    <s v="Not Achieved"/>
  </r>
  <r>
    <s v="ORD004"/>
    <x v="3"/>
    <x v="3"/>
    <s v="Laptop"/>
    <n v="60000"/>
    <s v="February"/>
    <n v="55000"/>
    <s v="Achieved"/>
  </r>
  <r>
    <s v="ORD005"/>
    <x v="4"/>
    <x v="0"/>
    <s v="Mobile"/>
    <n v="28000"/>
    <s v="March"/>
    <n v="30000"/>
    <s v="Not Achieved"/>
  </r>
  <r>
    <s v="ORD006"/>
    <x v="5"/>
    <x v="1"/>
    <s v="Tablet"/>
    <n v="25000"/>
    <s v="March"/>
    <n v="24000"/>
    <s v="Achieved"/>
  </r>
  <r>
    <s v="ORD007"/>
    <x v="6"/>
    <x v="2"/>
    <s v="Laptop"/>
    <n v="65000"/>
    <s v="April"/>
    <n v="60000"/>
    <s v="Achieved"/>
  </r>
  <r>
    <s v="ORD008"/>
    <x v="7"/>
    <x v="3"/>
    <s v="Mobile"/>
    <n v="32000"/>
    <s v="April"/>
    <n v="30000"/>
    <s v="Achieved"/>
  </r>
  <r>
    <s v="ORD009"/>
    <x v="8"/>
    <x v="0"/>
    <s v="Tablet"/>
    <n v="27000"/>
    <s v="May"/>
    <n v="25000"/>
    <s v="Achieved"/>
  </r>
  <r>
    <s v="ORD010"/>
    <x v="9"/>
    <x v="1"/>
    <s v="Laptop"/>
    <n v="70000"/>
    <s v="May"/>
    <n v="65000"/>
    <s v="Achiev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3F527-6520-43C5-817A-7E96DA28061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8">
    <pivotField showAll="0"/>
    <pivotField showAll="0">
      <items count="11">
        <item x="6"/>
        <item x="9"/>
        <item x="2"/>
        <item x="5"/>
        <item x="4"/>
        <item x="7"/>
        <item x="1"/>
        <item x="0"/>
        <item x="3"/>
        <item x="8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5D9F52-8620-4155-80E0-9D7FC86AF414}" name="Table2" displayName="Table2" ref="A1:H11" totalsRowShown="0" headerRowDxfId="2">
  <autoFilter ref="A1:H11" xr:uid="{975D9F52-8620-4155-80E0-9D7FC86AF414}"/>
  <tableColumns count="8">
    <tableColumn id="1" xr3:uid="{44E1F571-D550-4887-AA60-D5D6A56F5408}" name="Order ID"/>
    <tableColumn id="2" xr3:uid="{CB00DE2C-789E-42D2-BEFD-934C2941B019}" name="Salesperson"/>
    <tableColumn id="3" xr3:uid="{7BD6F45F-9478-457A-BB43-4A55B9CF750F}" name="Region"/>
    <tableColumn id="4" xr3:uid="{4BDE896D-C24D-4B6D-A67F-4D441B238C1B}" name="Product"/>
    <tableColumn id="5" xr3:uid="{0E25A72E-A5E4-432C-BC02-623E4E20A3B1}" name="Sales Amount" dataDxfId="1"/>
    <tableColumn id="6" xr3:uid="{FE812758-669D-41D1-A07D-4822B47B28F0}" name="Month"/>
    <tableColumn id="7" xr3:uid="{09F966B2-46D4-4405-8E0A-D1E1BD7156B3}" name="Target"/>
    <tableColumn id="8" xr3:uid="{9D7026C2-9C4D-41A9-BB99-ADFF3F28C51B}" name="PERFORMANCE" dataDxfId="0">
      <calculatedColumnFormula>IF(E2&gt;G2,"Achieved","Not Achieved")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D7C0-F090-41D0-A560-981692C971C2}">
  <dimension ref="A1:K7"/>
  <sheetViews>
    <sheetView tabSelected="1" workbookViewId="0">
      <selection activeCell="V38" sqref="V38"/>
    </sheetView>
  </sheetViews>
  <sheetFormatPr defaultRowHeight="15" x14ac:dyDescent="0.25"/>
  <cols>
    <col min="1" max="1" width="13.140625" bestFit="1" customWidth="1"/>
    <col min="2" max="2" width="20" bestFit="1" customWidth="1"/>
    <col min="10" max="10" width="13.42578125" bestFit="1" customWidth="1"/>
    <col min="11" max="11" width="13.7109375" customWidth="1"/>
  </cols>
  <sheetData>
    <row r="1" spans="1:11" x14ac:dyDescent="0.25">
      <c r="A1" s="5" t="s">
        <v>40</v>
      </c>
      <c r="B1" t="s">
        <v>42</v>
      </c>
      <c r="J1" s="1"/>
      <c r="K1" s="1"/>
    </row>
    <row r="2" spans="1:11" x14ac:dyDescent="0.25">
      <c r="A2" s="2" t="s">
        <v>18</v>
      </c>
      <c r="B2" s="6">
        <v>85000</v>
      </c>
      <c r="J2" s="8" t="s">
        <v>43</v>
      </c>
      <c r="K2" s="8">
        <f>SUM(Sheet1!E2:E11)</f>
        <v>412000</v>
      </c>
    </row>
    <row r="3" spans="1:11" x14ac:dyDescent="0.25">
      <c r="A3" s="2" t="s">
        <v>9</v>
      </c>
      <c r="B3" s="6">
        <v>110000</v>
      </c>
      <c r="J3" s="8" t="s">
        <v>44</v>
      </c>
      <c r="K3" s="8">
        <f>AVERAGE(Sheet1!E2:E11)</f>
        <v>41200</v>
      </c>
    </row>
    <row r="4" spans="1:11" x14ac:dyDescent="0.25">
      <c r="A4" s="2" t="s">
        <v>14</v>
      </c>
      <c r="B4" s="6">
        <v>125000</v>
      </c>
    </row>
    <row r="5" spans="1:11" x14ac:dyDescent="0.25">
      <c r="A5" s="2" t="s">
        <v>23</v>
      </c>
      <c r="B5" s="6">
        <v>92000</v>
      </c>
    </row>
    <row r="6" spans="1:11" x14ac:dyDescent="0.25">
      <c r="A6" s="2" t="s">
        <v>41</v>
      </c>
      <c r="B6" s="6">
        <v>412000</v>
      </c>
    </row>
    <row r="7" spans="1:11" x14ac:dyDescent="0.25">
      <c r="K7" s="7"/>
    </row>
  </sheetData>
  <conditionalFormatting pivot="1" sqref="B2:B5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81B7-005C-45EE-9DBF-9186EF2FAFF7}">
  <dimension ref="A1:M25"/>
  <sheetViews>
    <sheetView workbookViewId="0">
      <selection activeCell="H3" sqref="H3"/>
    </sheetView>
  </sheetViews>
  <sheetFormatPr defaultRowHeight="15" x14ac:dyDescent="0.25"/>
  <cols>
    <col min="1" max="1" width="10.5703125" customWidth="1"/>
    <col min="2" max="2" width="13.85546875" customWidth="1"/>
    <col min="3" max="3" width="9.28515625" customWidth="1"/>
    <col min="4" max="4" width="10" customWidth="1"/>
    <col min="5" max="5" width="15.28515625" style="2" customWidth="1"/>
    <col min="6" max="6" width="9.140625" customWidth="1"/>
    <col min="7" max="7" width="8.7109375" customWidth="1"/>
    <col min="8" max="8" width="32.71093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39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s="2">
        <v>55000</v>
      </c>
      <c r="F2" t="s">
        <v>11</v>
      </c>
      <c r="G2">
        <v>50000</v>
      </c>
      <c r="H2" t="str">
        <f t="shared" ref="H2:H11" si="0">IF(E2&gt;G2,"Achieved","Not Achieved")</f>
        <v>Achieved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s="2">
        <v>30000</v>
      </c>
      <c r="F3" t="s">
        <v>11</v>
      </c>
      <c r="G3">
        <v>25000</v>
      </c>
      <c r="H3" t="str">
        <f t="shared" si="0"/>
        <v>Achieved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s="2">
        <v>20000</v>
      </c>
      <c r="F4" t="s">
        <v>20</v>
      </c>
      <c r="G4">
        <v>22000</v>
      </c>
      <c r="H4" t="str">
        <f t="shared" si="0"/>
        <v>Not Achieved</v>
      </c>
    </row>
    <row r="5" spans="1:11" x14ac:dyDescent="0.25">
      <c r="A5" t="s">
        <v>21</v>
      </c>
      <c r="B5" t="s">
        <v>22</v>
      </c>
      <c r="C5" t="s">
        <v>23</v>
      </c>
      <c r="D5" t="s">
        <v>10</v>
      </c>
      <c r="E5" s="2">
        <v>60000</v>
      </c>
      <c r="F5" t="s">
        <v>20</v>
      </c>
      <c r="G5">
        <v>55000</v>
      </c>
      <c r="H5" t="str">
        <f t="shared" si="0"/>
        <v>Achieved</v>
      </c>
    </row>
    <row r="6" spans="1:11" x14ac:dyDescent="0.25">
      <c r="A6" t="s">
        <v>24</v>
      </c>
      <c r="B6" t="s">
        <v>25</v>
      </c>
      <c r="C6" t="s">
        <v>9</v>
      </c>
      <c r="D6" t="s">
        <v>15</v>
      </c>
      <c r="E6" s="2">
        <v>28000</v>
      </c>
      <c r="F6" t="s">
        <v>26</v>
      </c>
      <c r="G6">
        <v>30000</v>
      </c>
      <c r="H6" t="str">
        <f t="shared" si="0"/>
        <v>Not Achieved</v>
      </c>
    </row>
    <row r="7" spans="1:11" x14ac:dyDescent="0.25">
      <c r="A7" t="s">
        <v>27</v>
      </c>
      <c r="B7" t="s">
        <v>28</v>
      </c>
      <c r="C7" t="s">
        <v>14</v>
      </c>
      <c r="D7" t="s">
        <v>19</v>
      </c>
      <c r="E7" s="2">
        <v>25000</v>
      </c>
      <c r="F7" t="s">
        <v>26</v>
      </c>
      <c r="G7">
        <v>24000</v>
      </c>
      <c r="H7" t="str">
        <f t="shared" si="0"/>
        <v>Achieved</v>
      </c>
    </row>
    <row r="8" spans="1:11" x14ac:dyDescent="0.25">
      <c r="A8" t="s">
        <v>29</v>
      </c>
      <c r="B8" t="s">
        <v>30</v>
      </c>
      <c r="C8" t="s">
        <v>18</v>
      </c>
      <c r="D8" t="s">
        <v>10</v>
      </c>
      <c r="E8" s="2">
        <v>65000</v>
      </c>
      <c r="F8" t="s">
        <v>31</v>
      </c>
      <c r="G8">
        <v>60000</v>
      </c>
      <c r="H8" t="str">
        <f t="shared" si="0"/>
        <v>Achieved</v>
      </c>
    </row>
    <row r="9" spans="1:11" x14ac:dyDescent="0.25">
      <c r="A9" t="s">
        <v>32</v>
      </c>
      <c r="B9" t="s">
        <v>33</v>
      </c>
      <c r="C9" t="s">
        <v>23</v>
      </c>
      <c r="D9" t="s">
        <v>15</v>
      </c>
      <c r="E9" s="2">
        <v>32000</v>
      </c>
      <c r="F9" t="s">
        <v>31</v>
      </c>
      <c r="G9">
        <v>30000</v>
      </c>
      <c r="H9" t="str">
        <f t="shared" si="0"/>
        <v>Achieved</v>
      </c>
      <c r="K9" s="2"/>
    </row>
    <row r="10" spans="1:11" x14ac:dyDescent="0.25">
      <c r="A10" t="s">
        <v>34</v>
      </c>
      <c r="B10" t="s">
        <v>35</v>
      </c>
      <c r="C10" t="s">
        <v>9</v>
      </c>
      <c r="D10" t="s">
        <v>19</v>
      </c>
      <c r="E10" s="2">
        <v>27000</v>
      </c>
      <c r="F10" t="s">
        <v>36</v>
      </c>
      <c r="G10">
        <v>25000</v>
      </c>
      <c r="H10" t="str">
        <f t="shared" si="0"/>
        <v>Achieved</v>
      </c>
    </row>
    <row r="11" spans="1:11" x14ac:dyDescent="0.25">
      <c r="A11" t="s">
        <v>37</v>
      </c>
      <c r="B11" t="s">
        <v>38</v>
      </c>
      <c r="C11" t="s">
        <v>14</v>
      </c>
      <c r="D11" t="s">
        <v>10</v>
      </c>
      <c r="E11" s="2">
        <v>70000</v>
      </c>
      <c r="F11" t="s">
        <v>36</v>
      </c>
      <c r="G11">
        <v>65000</v>
      </c>
      <c r="H11" t="str">
        <f t="shared" si="0"/>
        <v>Achieved</v>
      </c>
    </row>
    <row r="19" spans="12:13" x14ac:dyDescent="0.25">
      <c r="M19" s="2"/>
    </row>
    <row r="25" spans="12:13" x14ac:dyDescent="0.25">
      <c r="L2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R</dc:creator>
  <cp:lastModifiedBy>Akshaya R</cp:lastModifiedBy>
  <dcterms:created xsi:type="dcterms:W3CDTF">2026-05-13T06:13:33Z</dcterms:created>
  <dcterms:modified xsi:type="dcterms:W3CDTF">2026-05-13T10:54:37Z</dcterms:modified>
</cp:coreProperties>
</file>